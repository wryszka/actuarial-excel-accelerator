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libration" sheetId="2" state="visible" r:id="rId2"/>
    <sheet name="Model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C0392B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Entity inputs (£m)</t>
        </is>
      </c>
    </row>
    <row r="3">
      <c r="A3" s="2" t="inlineStr">
        <is>
          <t>Premium volume (Vp)</t>
        </is>
      </c>
      <c r="B3" t="n">
        <v>120</v>
      </c>
    </row>
    <row r="4">
      <c r="A4" s="2" t="inlineStr">
        <is>
          <t>Reserve volume (Vr)</t>
        </is>
      </c>
      <c r="B4" t="n">
        <v>340</v>
      </c>
    </row>
    <row r="5">
      <c r="A5" s="2" t="inlineStr">
        <is>
          <t>Assets market value</t>
        </is>
      </c>
      <c r="B5" t="n">
        <v>780</v>
      </c>
    </row>
    <row r="6">
      <c r="A6" s="2" t="inlineStr">
        <is>
          <t>Asset duration (yrs)</t>
        </is>
      </c>
      <c r="B6" t="n">
        <v>4.2</v>
      </c>
    </row>
    <row r="7">
      <c r="A7" s="2" t="inlineStr">
        <is>
          <t>Liabilities BEL</t>
        </is>
      </c>
      <c r="B7" t="n">
        <v>610</v>
      </c>
    </row>
    <row r="8">
      <c r="A8" s="2" t="inlineStr">
        <is>
          <t>Liability duration (yrs)</t>
        </is>
      </c>
      <c r="B8" t="n">
        <v>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Calibration — 2025 parameter set</t>
        </is>
      </c>
    </row>
    <row r="2">
      <c r="A2" s="3" t="inlineStr">
        <is>
          <t>When the regulator updates these, the actuary retypes this block and hopes every downstream formula still points at the right cell.</t>
        </is>
      </c>
    </row>
    <row r="4">
      <c r="A4" s="2" t="inlineStr">
        <is>
          <t>sigma_premium</t>
        </is>
      </c>
      <c r="B4" t="n">
        <v>0.1</v>
      </c>
    </row>
    <row r="5">
      <c r="A5" s="2" t="inlineStr">
        <is>
          <t>sigma_reserve</t>
        </is>
      </c>
      <c r="B5" t="n">
        <v>0.09</v>
      </c>
    </row>
    <row r="6">
      <c r="A6" s="2" t="inlineStr">
        <is>
          <t>premium_reserve_corr</t>
        </is>
      </c>
      <c r="B6" t="n">
        <v>0.5</v>
      </c>
    </row>
    <row r="7">
      <c r="A7" s="2" t="inlineStr">
        <is>
          <t>ir_shock</t>
        </is>
      </c>
      <c r="B7" t="n">
        <v>0.011</v>
      </c>
    </row>
    <row r="8">
      <c r="A8" s="2" t="inlineStr">
        <is>
          <t>cat_factor</t>
        </is>
      </c>
      <c r="B8" t="n">
        <v>0.12</v>
      </c>
    </row>
    <row r="9">
      <c r="A9" s="2" t="inlineStr">
        <is>
          <t>op_factor</t>
        </is>
      </c>
      <c r="B9" t="n">
        <v>0.03</v>
      </c>
    </row>
    <row r="10">
      <c r="A10" s="2" t="inlineStr">
        <is>
          <t>op_cap_of_bscr</t>
        </is>
      </c>
      <c r="B10" t="n">
        <v>0.3</v>
      </c>
    </row>
    <row r="11">
      <c r="A11" s="2" t="inlineStr">
        <is>
          <t>corr_nl_mkt</t>
        </is>
      </c>
      <c r="B11" t="n">
        <v>0.25</v>
      </c>
    </row>
    <row r="12">
      <c r="A12" s="2" t="inlineStr">
        <is>
          <t>corr_nl_cat</t>
        </is>
      </c>
      <c r="B12" t="n">
        <v>0.25</v>
      </c>
    </row>
    <row r="13">
      <c r="A13" s="2" t="inlineStr">
        <is>
          <t>corr_mkt_cat</t>
        </is>
      </c>
      <c r="B1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Standard Formula — module charges (£m)</t>
        </is>
      </c>
    </row>
    <row r="3">
      <c r="A3" t="inlineStr">
        <is>
          <t>SCR non-life (prem &amp; reserve)</t>
        </is>
      </c>
      <c r="B3" s="4">
        <f>3*SQRT((Calibration!B4*Inputs!B3)^2+2*Calibration!B6*(Calibration!B4*Inputs!B3)*(Calibration!B5*Inputs!B4)+(Calibration!B5*Inputs!B4)^2)</f>
        <v/>
      </c>
    </row>
    <row r="4">
      <c r="A4" t="inlineStr">
        <is>
          <t>SCR market (interest rate)</t>
        </is>
      </c>
      <c r="B4" s="4">
        <f>ABS(Inputs!B5*Inputs!B6-Inputs!B7*Inputs!B8)*Calibration!B7</f>
        <v/>
      </c>
    </row>
    <row r="5">
      <c r="A5" t="inlineStr">
        <is>
          <t>SCR catastrophe</t>
        </is>
      </c>
      <c r="B5" s="4">
        <f>Calibration!B8*Inputs!B3</f>
        <v/>
      </c>
    </row>
    <row r="7">
      <c r="A7" t="inlineStr">
        <is>
          <t>BSCR (correlation aggregation)</t>
        </is>
      </c>
      <c r="B7" s="4">
        <f>SQRT(B3^2+B4^2+B5^2+2*(Calibration!B11*B3*B4+Calibration!B12*B3*B5+Calibration!B13*B4*B5))</f>
        <v/>
      </c>
    </row>
    <row r="8">
      <c r="A8" t="inlineStr">
        <is>
          <t>Operational risk</t>
        </is>
      </c>
      <c r="B8" s="4">
        <f>MIN(Calibration!B9*Inputs!B3,Calibration!B10*B7)</f>
        <v/>
      </c>
    </row>
    <row r="10">
      <c r="A10" s="5" t="inlineStr">
        <is>
          <t>SCR</t>
        </is>
      </c>
      <c r="B10" s="6">
        <f>B7+B8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About this workbook</t>
        </is>
      </c>
    </row>
    <row r="2">
      <c r="A2" t="inlineStr"/>
    </row>
    <row r="3">
      <c r="A3" t="inlineStr">
        <is>
          <t>A deliberately simple Standard Formula model: three risk modules,</t>
        </is>
      </c>
    </row>
    <row r="4">
      <c r="A4" t="inlineStr">
        <is>
          <t>a correlation aggregation and an operational-risk add-on, for ONE entity.</t>
        </is>
      </c>
    </row>
    <row r="5">
      <c r="A5" t="inlineStr"/>
    </row>
    <row r="6">
      <c r="A6" t="inlineStr">
        <is>
          <t>Pain points this file carries in real life:</t>
        </is>
      </c>
    </row>
    <row r="7">
      <c r="A7" t="inlineStr">
        <is>
          <t xml:space="preserve">  • one workbook per entity — a group of 100 means 100 files</t>
        </is>
      </c>
    </row>
    <row r="8">
      <c r="A8" t="inlineStr">
        <is>
          <t xml:space="preserve">  • the calibration is a typed-in block — updates are retyped by hand</t>
        </is>
      </c>
    </row>
    <row r="9">
      <c r="A9" t="inlineStr">
        <is>
          <t xml:space="preserve">  • no version history: 'which parameters produced the Q3 number?'</t>
        </is>
      </c>
    </row>
    <row r="10">
      <c r="A10" t="inlineStr">
        <is>
          <t xml:space="preserve">  • sharing = emailing the file</t>
        </is>
      </c>
    </row>
    <row r="11">
      <c r="A11" t="inlineStr"/>
    </row>
    <row r="12">
      <c r="A12" t="inlineStr">
        <is>
          <t>Use Case 2 migrates this to a governed, versioned model in Unity Catalog.</t>
        </is>
      </c>
    </row>
    <row r="13">
      <c r="A13" t="inlineStr">
        <is>
          <t>All data is synthetic; no customer data is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2026-07-08T19:43:51Z</dcterms:created>
  <dcterms:modified xsi:type="dcterms:W3CDTF">2026-07-08T19:43:51Z</dcterms:modified>
</cp:coreProperties>
</file>