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puts" sheetId="2" state="visible" r:id="rId2"/>
    <sheet name="RFR_Curves" sheetId="3" state="visible" r:id="rId3"/>
    <sheet name="Assumptions" sheetId="4" state="visible" r:id="rId4"/>
    <sheet name="NL_PremRes" sheetId="5" state="visible" r:id="rId5"/>
    <sheet name="Market_IR" sheetId="6" state="visible" r:id="rId6"/>
    <sheet name="Cat" sheetId="7" state="visible" r:id="rId7"/>
    <sheet name="Aggregation" sheetId="8" state="visible" r:id="rId8"/>
    <sheet name="Scenarios" sheetId="9" state="visible" r:id="rId9"/>
    <sheet name="Output" sheetId="10" state="visible" r:id="rId10"/>
    <sheet name="SCR_Computed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0" fontId="3" fillId="3" borderId="0" pivotButton="0" quotePrefix="0" xfId="0"/>
    <xf numFmtId="3" fontId="0" fillId="3" borderId="0" pivotButton="0" quotePrefix="0" xfId="0"/>
    <xf numFmtId="0" fontId="4" fillId="0" borderId="0" pivotButton="0" quotePrefix="0" xfId="0"/>
    <xf numFmtId="3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SCR_StandardFormula — Demo 2A Workbook</t>
        </is>
      </c>
    </row>
    <row r="3">
      <c r="A3" t="inlineStr">
        <is>
          <t>This is the .xlsx test fixture. The .xlsm version contains the VBA modules described in VBA_SPEC.md.</t>
        </is>
      </c>
    </row>
    <row r="5">
      <c r="A5" t="inlineStr">
        <is>
          <t>Tabs (in workflow order):</t>
        </is>
      </c>
    </row>
    <row r="6">
      <c r="A6" t="inlineStr">
        <is>
          <t xml:space="preserve">  Inputs       — per-LoB volumes, asset value/duration, liability cash flows</t>
        </is>
      </c>
    </row>
    <row r="7">
      <c r="A7" t="inlineStr">
        <is>
          <t xml:space="preserve">  RFR_Curves   — pasted from demo 1 gold table {catalog}.{schema}.rfr_curves</t>
        </is>
      </c>
    </row>
    <row r="8">
      <c r="A8" t="inlineStr">
        <is>
          <t xml:space="preserve">  Assumptions  — sigmas, correlation matrices, Op factor, Cat plug, LACDT</t>
        </is>
      </c>
    </row>
    <row r="9">
      <c r="A9" t="inlineStr">
        <is>
          <t xml:space="preserve">  NL_PremRes   — per-LoB combined sigma and NL aggregation</t>
        </is>
      </c>
    </row>
    <row r="10">
      <c r="A10" t="inlineStr">
        <is>
          <t xml:space="preserve">  Market_IR    — asset and liability NAV under IR up/down shock</t>
        </is>
      </c>
    </row>
    <row r="11">
      <c r="A11" t="inlineStr">
        <is>
          <t xml:space="preserve">  Cat          — plug pass-through from Assumptions</t>
        </is>
      </c>
    </row>
    <row r="12">
      <c r="A12" t="inlineStr">
        <is>
          <t xml:space="preserve">  Aggregation  — BSCR closed form + Op + LACDT → SCR</t>
        </is>
      </c>
    </row>
    <row r="13">
      <c r="A13" t="inlineStr">
        <is>
          <t xml:space="preserve">  Scenarios    — populated by VBA RunScenarios()</t>
        </is>
      </c>
    </row>
    <row r="14">
      <c r="A14" t="inlineStr">
        <is>
          <t xml:space="preserve">  Output       — formatted SCR breakdown (built by GenerateSummary)</t>
        </is>
      </c>
    </row>
    <row r="16">
      <c r="A16" t="inlineStr">
        <is>
          <t>Hidden tab SCR_Computed holds Python-computed reference values</t>
        </is>
      </c>
    </row>
    <row r="17">
      <c r="A17" t="inlineStr">
        <is>
          <t>used by the Databricks parity test (src/08_parity_test.py).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Inputs — base scenario</t>
        </is>
      </c>
    </row>
    <row r="3">
      <c r="A3" s="3" t="inlineStr">
        <is>
          <t>Scalar</t>
        </is>
      </c>
      <c r="B3" s="3" t="inlineStr">
        <is>
          <t>Value</t>
        </is>
      </c>
    </row>
    <row r="4">
      <c r="A4" t="inlineStr">
        <is>
          <t>scenario_id</t>
        </is>
      </c>
      <c r="B4" t="inlineStr">
        <is>
          <t>base</t>
        </is>
      </c>
    </row>
    <row r="5">
      <c r="A5" t="inlineStr">
        <is>
          <t>as_of_date</t>
        </is>
      </c>
      <c r="B5" t="inlineStr">
        <is>
          <t>2025-12-31</t>
        </is>
      </c>
    </row>
    <row r="6">
      <c r="A6" t="inlineStr">
        <is>
          <t>currency</t>
        </is>
      </c>
      <c r="B6" t="inlineStr">
        <is>
          <t>EUR</t>
        </is>
      </c>
    </row>
    <row r="7">
      <c r="A7" t="inlineStr">
        <is>
          <t>earned_premium</t>
        </is>
      </c>
      <c r="B7" t="n">
        <v>285000000</v>
      </c>
    </row>
    <row r="8">
      <c r="A8" t="inlineStr">
        <is>
          <t>asset_value</t>
        </is>
      </c>
      <c r="B8" t="n">
        <v>950000000</v>
      </c>
    </row>
    <row r="9">
      <c r="A9" t="inlineStr">
        <is>
          <t>asset_modified_duration</t>
        </is>
      </c>
      <c r="B9" t="n">
        <v>4.5</v>
      </c>
    </row>
    <row r="11">
      <c r="A11" s="3" t="inlineStr">
        <is>
          <t>LoB</t>
        </is>
      </c>
      <c r="B11" s="3" t="inlineStr">
        <is>
          <t>V_prem</t>
        </is>
      </c>
      <c r="C11" s="3" t="inlineStr">
        <is>
          <t>V_res</t>
        </is>
      </c>
      <c r="E11" s="3" t="inlineStr">
        <is>
          <t>Year</t>
        </is>
      </c>
      <c r="F11" s="3" t="inlineStr">
        <is>
          <t>Liability CF</t>
        </is>
      </c>
    </row>
    <row r="12">
      <c r="A12" t="inlineStr">
        <is>
          <t>Motor</t>
        </is>
      </c>
      <c r="B12" s="4" t="n">
        <v>120000000</v>
      </c>
      <c r="C12" s="4" t="n">
        <v>180000000</v>
      </c>
      <c r="E12" t="n">
        <v>1</v>
      </c>
      <c r="F12" s="4" t="n">
        <v>75000000</v>
      </c>
    </row>
    <row r="13">
      <c r="A13" t="inlineStr">
        <is>
          <t>Property</t>
        </is>
      </c>
      <c r="B13" s="4" t="n">
        <v>95000000</v>
      </c>
      <c r="C13" s="4" t="n">
        <v>60000000</v>
      </c>
      <c r="E13" t="n">
        <v>2</v>
      </c>
      <c r="F13" s="4" t="n">
        <v>68000000</v>
      </c>
    </row>
    <row r="14">
      <c r="A14" t="inlineStr">
        <is>
          <t>Liability</t>
        </is>
      </c>
      <c r="B14" s="4" t="n">
        <v>40000000</v>
      </c>
      <c r="C14" s="4" t="n">
        <v>85000000</v>
      </c>
      <c r="E14" t="n">
        <v>3</v>
      </c>
      <c r="F14" s="4" t="n">
        <v>60000000</v>
      </c>
    </row>
    <row r="15">
      <c r="A15" t="inlineStr">
        <is>
          <t>Other</t>
        </is>
      </c>
      <c r="B15" s="4" t="n">
        <v>25000000</v>
      </c>
      <c r="C15" s="4" t="n">
        <v>15000000</v>
      </c>
      <c r="E15" t="n">
        <v>4</v>
      </c>
      <c r="F15" s="4" t="n">
        <v>52000000</v>
      </c>
    </row>
    <row r="16">
      <c r="E16" t="n">
        <v>5</v>
      </c>
      <c r="F16" s="4" t="n">
        <v>45000000</v>
      </c>
    </row>
    <row r="17">
      <c r="E17" t="n">
        <v>6</v>
      </c>
      <c r="F17" s="4" t="n">
        <v>38000000</v>
      </c>
    </row>
    <row r="18">
      <c r="E18" t="n">
        <v>7</v>
      </c>
      <c r="F18" s="4" t="n">
        <v>32000000</v>
      </c>
    </row>
    <row r="19">
      <c r="E19" t="n">
        <v>8</v>
      </c>
      <c r="F19" s="4" t="n">
        <v>26000000</v>
      </c>
    </row>
    <row r="20">
      <c r="E20" t="n">
        <v>9</v>
      </c>
      <c r="F20" s="4" t="n">
        <v>21000000</v>
      </c>
    </row>
    <row r="21">
      <c r="E21" t="n">
        <v>10</v>
      </c>
      <c r="F21" s="4" t="n">
        <v>17000000</v>
      </c>
    </row>
    <row r="22">
      <c r="E22" t="n">
        <v>11</v>
      </c>
      <c r="F22" s="4" t="n">
        <v>14000000</v>
      </c>
    </row>
    <row r="23">
      <c r="E23" t="n">
        <v>12</v>
      </c>
      <c r="F23" s="4" t="n">
        <v>11000000</v>
      </c>
    </row>
    <row r="24">
      <c r="E24" t="n">
        <v>13</v>
      </c>
      <c r="F24" s="4" t="n">
        <v>9000000</v>
      </c>
    </row>
    <row r="25">
      <c r="E25" t="n">
        <v>14</v>
      </c>
      <c r="F25" s="4" t="n">
        <v>7000000</v>
      </c>
    </row>
    <row r="26">
      <c r="E26" t="n">
        <v>15</v>
      </c>
      <c r="F26" s="4" t="n">
        <v>5500000</v>
      </c>
    </row>
    <row r="27">
      <c r="E27" t="n">
        <v>20</v>
      </c>
      <c r="F27" s="4" t="n">
        <v>4000000</v>
      </c>
    </row>
    <row r="28">
      <c r="E28" t="n">
        <v>25</v>
      </c>
      <c r="F28" s="4" t="n">
        <v>2500000</v>
      </c>
    </row>
    <row r="29">
      <c r="E29" t="n">
        <v>30</v>
      </c>
      <c r="F29" s="4" t="n">
        <v>1500000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RFR_Curves — paste from demo 1 gold table</t>
        </is>
      </c>
    </row>
    <row r="3">
      <c r="A3" t="inlineStr">
        <is>
          <t>Place the rfr_curves rows here (effective_date, currency, maturity_months, spot_rate).</t>
        </is>
      </c>
    </row>
    <row r="4">
      <c r="A4" t="inlineStr">
        <is>
          <t>The .xlsm version uses the actuary's manual paste from a Databricks SQL query.</t>
        </is>
      </c>
    </row>
    <row r="5">
      <c r="A5" t="inlineStr">
        <is>
          <t>Demo 2A's Excel parity reference does not depend on this tab — it embeds a flat 2.5%</t>
        </is>
      </c>
    </row>
    <row r="6">
      <c r="A6" t="inlineStr">
        <is>
          <t>fallback so the workbook always evaluates. The Databricks orchestrator uses the real curve.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Assumptions — v1_2025_12</t>
        </is>
      </c>
    </row>
    <row r="3">
      <c r="A3" s="3" t="inlineStr">
        <is>
          <t>LoB</t>
        </is>
      </c>
      <c r="B3" s="3" t="inlineStr">
        <is>
          <t>σ_prem</t>
        </is>
      </c>
      <c r="C3" s="3" t="inlineStr">
        <is>
          <t>σ_res</t>
        </is>
      </c>
      <c r="E3" s="3" t="inlineStr">
        <is>
          <t>NL LoB correlation matrix</t>
        </is>
      </c>
    </row>
    <row r="4">
      <c r="A4" t="inlineStr">
        <is>
          <t>Motor</t>
        </is>
      </c>
      <c r="B4" s="5" t="n">
        <v>0.1</v>
      </c>
      <c r="C4" s="5" t="n">
        <v>0.095</v>
      </c>
      <c r="F4" s="6" t="inlineStr">
        <is>
          <t>Motor</t>
        </is>
      </c>
      <c r="G4" s="6" t="inlineStr">
        <is>
          <t>Property</t>
        </is>
      </c>
      <c r="H4" s="6" t="inlineStr">
        <is>
          <t>Liability</t>
        </is>
      </c>
      <c r="I4" s="6" t="inlineStr">
        <is>
          <t>Other</t>
        </is>
      </c>
    </row>
    <row r="5">
      <c r="A5" t="inlineStr">
        <is>
          <t>Property</t>
        </is>
      </c>
      <c r="B5" s="5" t="n">
        <v>0.08</v>
      </c>
      <c r="C5" s="5" t="n">
        <v>0.11</v>
      </c>
      <c r="E5" s="6" t="inlineStr">
        <is>
          <t>Motor</t>
        </is>
      </c>
      <c r="F5" s="7" t="n">
        <v>1</v>
      </c>
      <c r="G5" s="7" t="n">
        <v>0.5</v>
      </c>
      <c r="H5" s="7" t="n">
        <v>0.5</v>
      </c>
      <c r="I5" s="7" t="n">
        <v>0.25</v>
      </c>
    </row>
    <row r="6">
      <c r="A6" t="inlineStr">
        <is>
          <t>Liability</t>
        </is>
      </c>
      <c r="B6" s="5" t="n">
        <v>0.14</v>
      </c>
      <c r="C6" s="5" t="n">
        <v>0.19</v>
      </c>
      <c r="E6" s="6" t="inlineStr">
        <is>
          <t>Property</t>
        </is>
      </c>
      <c r="F6" s="7" t="n">
        <v>0.5</v>
      </c>
      <c r="G6" s="7" t="n">
        <v>1</v>
      </c>
      <c r="H6" s="7" t="n">
        <v>0.25</v>
      </c>
      <c r="I6" s="7" t="n">
        <v>0.25</v>
      </c>
    </row>
    <row r="7">
      <c r="A7" t="inlineStr">
        <is>
          <t>Other</t>
        </is>
      </c>
      <c r="B7" s="5" t="n">
        <v>0.13</v>
      </c>
      <c r="C7" s="5" t="n">
        <v>0.15</v>
      </c>
      <c r="E7" s="6" t="inlineStr">
        <is>
          <t>Liability</t>
        </is>
      </c>
      <c r="F7" s="7" t="n">
        <v>0.5</v>
      </c>
      <c r="G7" s="7" t="n">
        <v>0.25</v>
      </c>
      <c r="H7" s="7" t="n">
        <v>1</v>
      </c>
      <c r="I7" s="7" t="n">
        <v>0.5</v>
      </c>
    </row>
    <row r="8">
      <c r="E8" s="6" t="inlineStr">
        <is>
          <t>Other</t>
        </is>
      </c>
      <c r="F8" s="7" t="n">
        <v>0.25</v>
      </c>
      <c r="G8" s="7" t="n">
        <v>0.25</v>
      </c>
      <c r="H8" s="7" t="n">
        <v>0.5</v>
      </c>
      <c r="I8" s="7" t="n">
        <v>1</v>
      </c>
    </row>
    <row r="10">
      <c r="A10" t="inlineStr">
        <is>
          <t>BSCR ρ(Market, UW)</t>
        </is>
      </c>
      <c r="B10" t="n">
        <v>0.25</v>
      </c>
    </row>
    <row r="11">
      <c r="A11" t="inlineStr">
        <is>
          <t>Op factor</t>
        </is>
      </c>
      <c r="B11" t="n">
        <v>0.03</v>
      </c>
    </row>
    <row r="12">
      <c r="A12" t="inlineStr">
        <is>
          <t>Cat plug</t>
        </is>
      </c>
      <c r="B12" s="4" t="n">
        <v>45000000</v>
      </c>
    </row>
    <row r="13">
      <c r="A13" t="inlineStr">
        <is>
          <t>LACDT</t>
        </is>
      </c>
      <c r="B13" s="4" t="n">
        <v>12000000</v>
      </c>
    </row>
    <row r="14">
      <c r="A14" t="inlineStr">
        <is>
          <t>IR shock up (bps)</t>
        </is>
      </c>
      <c r="B14" t="n">
        <v>200</v>
      </c>
    </row>
    <row r="15">
      <c r="A15" t="inlineStr">
        <is>
          <t>IR shock down (bps)</t>
        </is>
      </c>
      <c r="B15" t="n">
        <v>-200</v>
      </c>
    </row>
    <row r="16">
      <c r="A16" t="inlineStr">
        <is>
          <t>IR down floor</t>
        </is>
      </c>
      <c r="B16" t="n">
        <v>-0.01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NL Premium &amp; Reserve — per-LoB and aggregation</t>
        </is>
      </c>
    </row>
    <row r="3">
      <c r="A3" s="3" t="inlineStr">
        <is>
          <t>LoB</t>
        </is>
      </c>
      <c r="B3" s="3" t="inlineStr">
        <is>
          <t>V_prem</t>
        </is>
      </c>
      <c r="C3" s="3" t="inlineStr">
        <is>
          <t>V_res</t>
        </is>
      </c>
      <c r="D3" s="3" t="inlineStr">
        <is>
          <t>σ_prem</t>
        </is>
      </c>
      <c r="E3" s="3" t="inlineStr">
        <is>
          <t>σ_res</t>
        </is>
      </c>
      <c r="F3" s="3" t="inlineStr">
        <is>
          <t>V_lob</t>
        </is>
      </c>
      <c r="G3" s="3" t="inlineStr">
        <is>
          <t>σ_lob</t>
        </is>
      </c>
    </row>
    <row r="4">
      <c r="A4" t="inlineStr">
        <is>
          <t>Motor</t>
        </is>
      </c>
      <c r="B4" s="4" t="n">
        <v>120000000</v>
      </c>
      <c r="C4" s="4" t="n">
        <v>180000000</v>
      </c>
      <c r="D4" s="5" t="n">
        <v>0.1</v>
      </c>
      <c r="E4" s="5" t="n">
        <v>0.095</v>
      </c>
      <c r="F4" s="4">
        <f>B4+C4</f>
        <v/>
      </c>
      <c r="G4" s="5">
        <f>IFERROR(SQRT((D4*B4)^2+2*0.5*D4*E4*B4*C4+(E4*C4)^2)/F4,0)</f>
        <v/>
      </c>
    </row>
    <row r="5">
      <c r="A5" t="inlineStr">
        <is>
          <t>Property</t>
        </is>
      </c>
      <c r="B5" s="4" t="n">
        <v>95000000</v>
      </c>
      <c r="C5" s="4" t="n">
        <v>60000000</v>
      </c>
      <c r="D5" s="5" t="n">
        <v>0.08</v>
      </c>
      <c r="E5" s="5" t="n">
        <v>0.11</v>
      </c>
      <c r="F5" s="4">
        <f>B5+C5</f>
        <v/>
      </c>
      <c r="G5" s="5">
        <f>IFERROR(SQRT((D5*B5)^2+2*0.5*D5*E5*B5*C5+(E5*C5)^2)/F5,0)</f>
        <v/>
      </c>
    </row>
    <row r="6">
      <c r="A6" t="inlineStr">
        <is>
          <t>Liability</t>
        </is>
      </c>
      <c r="B6" s="4" t="n">
        <v>40000000</v>
      </c>
      <c r="C6" s="4" t="n">
        <v>85000000</v>
      </c>
      <c r="D6" s="5" t="n">
        <v>0.14</v>
      </c>
      <c r="E6" s="5" t="n">
        <v>0.19</v>
      </c>
      <c r="F6" s="4">
        <f>B6+C6</f>
        <v/>
      </c>
      <c r="G6" s="5">
        <f>IFERROR(SQRT((D6*B6)^2+2*0.5*D6*E6*B6*C6+(E6*C6)^2)/F6,0)</f>
        <v/>
      </c>
    </row>
    <row r="7">
      <c r="A7" t="inlineStr">
        <is>
          <t>Other</t>
        </is>
      </c>
      <c r="B7" s="4" t="n">
        <v>25000000</v>
      </c>
      <c r="C7" s="4" t="n">
        <v>15000000</v>
      </c>
      <c r="D7" s="5" t="n">
        <v>0.13</v>
      </c>
      <c r="E7" s="5" t="n">
        <v>0.15</v>
      </c>
      <c r="F7" s="4">
        <f>B7+C7</f>
        <v/>
      </c>
      <c r="G7" s="5">
        <f>IFERROR(SQRT((D7*B7)^2+2*0.5*D7*E7*B7*C7+(E7*C7)^2)/F7,0)</f>
        <v/>
      </c>
    </row>
    <row r="9">
      <c r="A9" s="8" t="inlineStr">
        <is>
          <t>Aggregation</t>
        </is>
      </c>
    </row>
    <row r="10">
      <c r="A10" t="inlineStr">
        <is>
          <t>V_NL</t>
        </is>
      </c>
      <c r="B10" s="4">
        <f>SUM(F4:F7)</f>
        <v/>
      </c>
    </row>
    <row r="11">
      <c r="A11" t="inlineStr">
        <is>
          <t>σ_NL</t>
        </is>
      </c>
      <c r="B11" s="5">
        <f>SQRT(Assumptions!F5*G4*F4*G4*F4+Assumptions!G5*G4*F4*G5*F5+Assumptions!H5*G4*F4*G6*F6+Assumptions!I5*G4*F4*G7*F7+Assumptions!F6*G5*F5*G4*F4+Assumptions!G6*G5*F5*G5*F5+Assumptions!H6*G5*F5*G6*F6+Assumptions!I6*G5*F5*G7*F7+Assumptions!F7*G6*F6*G4*F4+Assumptions!G7*G6*F6*G5*F5+Assumptions!H7*G6*F6*G6*F6+Assumptions!I7*G6*F6*G7*F7+Assumptions!F8*G7*F7*G4*F4+Assumptions!G8*G7*F7*G5*F5+Assumptions!H8*G7*F7*G6*F6+Assumptions!I8*G7*F7*G7*F7)/B10</f>
        <v/>
      </c>
    </row>
    <row r="12">
      <c r="A12" t="inlineStr">
        <is>
          <t>SCR_nl_premres</t>
        </is>
      </c>
      <c r="B12" s="9">
        <f>3*B11*B10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Market IR — NAV revaluation</t>
        </is>
      </c>
    </row>
    <row r="3">
      <c r="A3" t="inlineStr">
        <is>
          <t>Fallback flat rate</t>
        </is>
      </c>
      <c r="B3" s="5" t="n">
        <v>0.025</v>
      </c>
    </row>
    <row r="5">
      <c r="A5" t="inlineStr">
        <is>
          <t>Shock up (decimal)</t>
        </is>
      </c>
      <c r="B5">
        <f>Assumptions!B14/10000</f>
        <v/>
      </c>
    </row>
    <row r="6">
      <c r="A6" t="inlineStr">
        <is>
          <t>Shock down (decimal)</t>
        </is>
      </c>
      <c r="B6">
        <f>Assumptions!B15/10000</f>
        <v/>
      </c>
    </row>
    <row r="8">
      <c r="A8" t="inlineStr">
        <is>
          <t>Asset MV base</t>
        </is>
      </c>
      <c r="B8" s="4">
        <f>Inputs!B8</f>
        <v/>
      </c>
    </row>
    <row r="9">
      <c r="A9" t="inlineStr">
        <is>
          <t>Modified duration</t>
        </is>
      </c>
      <c r="B9">
        <f>Inputs!B9</f>
        <v/>
      </c>
    </row>
    <row r="11">
      <c r="A11" t="inlineStr">
        <is>
          <t>PV liabilities (base)</t>
        </is>
      </c>
      <c r="B11" s="4">
        <f>SUMPRODUCT(Inputs!F12:F29/(1+B3)^Inputs!E12:E29)</f>
        <v/>
      </c>
    </row>
    <row r="12">
      <c r="A12" t="inlineStr">
        <is>
          <t>PV liabilities (IR up)</t>
        </is>
      </c>
      <c r="B12" s="4">
        <f>SUMPRODUCT(Inputs!F12:F29/(1+B3+B5)^Inputs!E12:E29)</f>
        <v/>
      </c>
    </row>
    <row r="13">
      <c r="A13" t="inlineStr">
        <is>
          <t>PV liabilities (IR dn)</t>
        </is>
      </c>
      <c r="B13" s="4">
        <f>SUMPRODUCT(Inputs!F12:F29/(1+MAX(B3+B6,Assumptions!B16))^Inputs!E12:E29)</f>
        <v/>
      </c>
    </row>
    <row r="15">
      <c r="A15" t="inlineStr">
        <is>
          <t>Asset MV (IR up)</t>
        </is>
      </c>
      <c r="B15" s="4">
        <f>B8*(1-B9*B5)</f>
        <v/>
      </c>
    </row>
    <row r="16">
      <c r="A16" t="inlineStr">
        <is>
          <t>Asset MV (IR dn)</t>
        </is>
      </c>
      <c r="B16" s="4">
        <f>B8*(1-B9*B6)</f>
        <v/>
      </c>
    </row>
    <row r="18">
      <c r="A18" t="inlineStr">
        <is>
          <t>NAV base</t>
        </is>
      </c>
      <c r="B18" s="4">
        <f>B8-B11</f>
        <v/>
      </c>
    </row>
    <row r="19">
      <c r="A19" t="inlineStr">
        <is>
          <t>NAV IR up</t>
        </is>
      </c>
      <c r="B19" s="4">
        <f>B15-B12</f>
        <v/>
      </c>
    </row>
    <row r="20">
      <c r="A20" t="inlineStr">
        <is>
          <t>NAV IR dn</t>
        </is>
      </c>
      <c r="B20" s="4">
        <f>B16-B13</f>
        <v/>
      </c>
    </row>
    <row r="22">
      <c r="A22" t="inlineStr">
        <is>
          <t>SCR_mkt_ir</t>
        </is>
      </c>
      <c r="B22" s="9">
        <f>MAX(B18-MIN(B19,B20),0)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Cat risk — plug pass-through</t>
        </is>
      </c>
    </row>
    <row r="3">
      <c r="A3" t="inlineStr">
        <is>
          <t>SCR_cat</t>
        </is>
      </c>
      <c r="B3" s="9">
        <f>Assumptions!B12</f>
        <v/>
      </c>
    </row>
    <row r="5">
      <c r="A5" s="10" t="inlineStr">
        <is>
          <t>Demo simplification: Cat is read from Assumptions as a plug. A real Standard Formula models Cat per peril with reinsurance recoveries.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BSCR aggregation → SCR</t>
        </is>
      </c>
    </row>
    <row r="3">
      <c r="A3" t="inlineStr">
        <is>
          <t>SCR_uw (NL P&amp;R)</t>
        </is>
      </c>
      <c r="B3">
        <f>NL_PremRes!B12</f>
        <v/>
      </c>
    </row>
    <row r="4">
      <c r="A4" t="inlineStr">
        <is>
          <t>SCR_mkt (IR)</t>
        </is>
      </c>
      <c r="B4">
        <f>Market_IR!B22</f>
        <v/>
      </c>
    </row>
    <row r="5">
      <c r="A5" t="inlineStr">
        <is>
          <t>SCR_cat (plug)</t>
        </is>
      </c>
      <c r="B5">
        <f>Cat!B3</f>
        <v/>
      </c>
    </row>
    <row r="6">
      <c r="A6" t="inlineStr">
        <is>
          <t>ρ (Mkt, UW)</t>
        </is>
      </c>
      <c r="B6">
        <f>Assumptions!B10</f>
        <v/>
      </c>
    </row>
    <row r="8">
      <c r="A8" t="inlineStr">
        <is>
          <t>BSCR</t>
        </is>
      </c>
      <c r="B8" s="4">
        <f>SQRT(B3^2+B4^2+2*B6*B3*B4)+B5</f>
        <v/>
      </c>
    </row>
    <row r="9">
      <c r="A9" t="inlineStr">
        <is>
          <t>Op risk</t>
        </is>
      </c>
      <c r="B9" s="4">
        <f>Assumptions!B11*Inputs!B7</f>
        <v/>
      </c>
    </row>
    <row r="10">
      <c r="A10" t="inlineStr">
        <is>
          <t>LACDT</t>
        </is>
      </c>
      <c r="B10" s="4">
        <f>Assumptions!B13</f>
        <v/>
      </c>
    </row>
    <row r="12">
      <c r="A12" s="6" t="inlineStr">
        <is>
          <t>SCR</t>
        </is>
      </c>
      <c r="B12" s="11">
        <f>B8+B9-B10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Scenarios — populated by VBA RunScenarios()</t>
        </is>
      </c>
    </row>
    <row r="3">
      <c r="A3" s="3" t="inlineStr">
        <is>
          <t>scenario_id</t>
        </is>
      </c>
      <c r="B3" s="3" t="inlineStr">
        <is>
          <t>ir_shock_bps</t>
        </is>
      </c>
      <c r="C3" s="3" t="inlineStr">
        <is>
          <t>motor_uplift</t>
        </is>
      </c>
      <c r="D3" s="3" t="inlineStr">
        <is>
          <t>property_uplift</t>
        </is>
      </c>
      <c r="E3" s="3" t="inlineStr">
        <is>
          <t>liability_uplift</t>
        </is>
      </c>
      <c r="F3" s="3" t="inlineStr">
        <is>
          <t>other_uplift</t>
        </is>
      </c>
      <c r="G3" s="3" t="inlineStr">
        <is>
          <t>scr_nl_premres</t>
        </is>
      </c>
      <c r="H3" s="3" t="inlineStr">
        <is>
          <t>scr_mkt_ir</t>
        </is>
      </c>
      <c r="I3" s="3" t="inlineStr">
        <is>
          <t>scr_cat</t>
        </is>
      </c>
      <c r="J3" s="3" t="inlineStr">
        <is>
          <t>bscr</t>
        </is>
      </c>
      <c r="K3" s="3" t="inlineStr">
        <is>
          <t>op_risk</t>
        </is>
      </c>
      <c r="L3" s="3" t="inlineStr">
        <is>
          <t>lacdt</t>
        </is>
      </c>
      <c r="M3" s="3" t="inlineStr">
        <is>
          <t>scr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Output — populated by VBA GenerateSummary()</t>
        </is>
      </c>
    </row>
    <row r="3">
      <c r="A3" t="inlineStr">
        <is>
          <t>Run GenerateSummary in the .xlsm to populate this tab.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Parity oracle — Python-computed reference</t>
        </is>
      </c>
    </row>
    <row r="2">
      <c r="A2" s="12" t="inlineStr">
        <is>
          <t>DO NOT EDIT BY HAND. Regenerated by build_excel_data.py. src/08_parity_test.py reads cell B&lt;n&gt; for each metric below.</t>
        </is>
      </c>
    </row>
    <row r="4">
      <c r="A4" s="6" t="inlineStr">
        <is>
          <t>scr_nl_premres</t>
        </is>
      </c>
      <c r="B4" t="n">
        <v>144189398.2511491</v>
      </c>
    </row>
    <row r="5">
      <c r="A5" s="6" t="inlineStr">
        <is>
          <t>scr_mkt_ir</t>
        </is>
      </c>
      <c r="B5" t="n">
        <v>47342530.69599694</v>
      </c>
    </row>
    <row r="6">
      <c r="A6" s="6" t="inlineStr">
        <is>
          <t>scr_cat</t>
        </is>
      </c>
      <c r="B6" t="n">
        <v>45000000</v>
      </c>
    </row>
    <row r="7">
      <c r="A7" s="6" t="inlineStr">
        <is>
          <t>bscr</t>
        </is>
      </c>
      <c r="B7" t="n">
        <v>207619320.1532372</v>
      </c>
    </row>
    <row r="8">
      <c r="A8" s="6" t="inlineStr">
        <is>
          <t>op_risk</t>
        </is>
      </c>
      <c r="B8" t="n">
        <v>8550000</v>
      </c>
    </row>
    <row r="9">
      <c r="A9" s="6" t="inlineStr">
        <is>
          <t>lacdt</t>
        </is>
      </c>
      <c r="B9" t="n">
        <v>12000000</v>
      </c>
    </row>
    <row r="10">
      <c r="A10" s="6" t="inlineStr">
        <is>
          <t>scr</t>
        </is>
      </c>
      <c r="B10" t="n">
        <v>204169320.1532372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2026-05-13T08:22:50Z</dcterms:created>
  <dcterms:modified xsi:type="dcterms:W3CDTF">2026-05-13T08:22:50Z</dcterms:modified>
</cp:coreProperties>
</file>